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gn\Desktop\"/>
    </mc:Choice>
  </mc:AlternateContent>
  <xr:revisionPtr revIDLastSave="0" documentId="13_ncr:1_{046E5B3E-0CC2-43F7-AC61-02772A03D4DA}" xr6:coauthVersionLast="47" xr6:coauthVersionMax="47" xr10:uidLastSave="{00000000-0000-0000-0000-000000000000}"/>
  <bookViews>
    <workbookView xWindow="-120" yWindow="-120" windowWidth="29040" windowHeight="15840" xr2:uid="{F9E3C905-1D26-4543-A8D8-2F906D10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1" l="1"/>
  <c r="C49" i="1"/>
  <c r="C50" i="1"/>
  <c r="C48" i="1"/>
  <c r="H44" i="1"/>
  <c r="H36" i="1"/>
  <c r="H37" i="1"/>
  <c r="H38" i="1"/>
  <c r="H39" i="1"/>
  <c r="H40" i="1"/>
  <c r="H41" i="1"/>
  <c r="H42" i="1"/>
  <c r="H43" i="1"/>
  <c r="H35" i="1"/>
</calcChain>
</file>

<file path=xl/sharedStrings.xml><?xml version="1.0" encoding="utf-8"?>
<sst xmlns="http://schemas.openxmlformats.org/spreadsheetml/2006/main" count="117" uniqueCount="85">
  <si>
    <t xml:space="preserve">TIÊU CHÍ PHÂN LOẠI DEALER </t>
  </si>
  <si>
    <t>C1</t>
  </si>
  <si>
    <t>Mã</t>
  </si>
  <si>
    <t>Tiêu chí</t>
  </si>
  <si>
    <t>Trọng số</t>
  </si>
  <si>
    <t>Sở hữu khách hàng bền vững</t>
  </si>
  <si>
    <t xml:space="preserve"> NHÓM 1: NĂNG LỰC HIỆN TẠI (75% tổng trọng số)</t>
  </si>
  <si>
    <t>Không nhớ tên khách cũ / không có danh sách</t>
  </si>
  <si>
    <t>Nhớ khách theo quan hệ cá nhân (thợ/chủ), chưa có list hệ thống</t>
  </si>
  <si>
    <t>Có list ≥50 House_ID, tỷ lệ quay lại ≥30%/năm hoặc có referral rõ</t>
  </si>
  <si>
    <t>Hỏi: "Anh có list khách cũ không?", "Khách mới từ đâu đến?"</t>
  </si>
  <si>
    <t>C2</t>
  </si>
  <si>
    <t>P&amp;L độc lập + dòng tiền tự quản</t>
  </si>
  <si>
    <t>Không biết lãi/lỗ từng job / phụ thuộc hoàn toàn vào ký gửi</t>
  </si>
  <si>
    <t>Biết biên lợi nhuận nhưng DSO &gt;60 ngày / hay bị nợ đọng</t>
  </si>
  <si>
    <t>Biên LN &gt;15%, DSO ≤60 ngày, tự chủ dòng tiền, không phụ thuộc ký gửi</t>
  </si>
  <si>
    <t>Hỏi: "Anh tính lãi thế nào?", "Trung bình bao lâu thu hồi công nợ?"</t>
  </si>
  <si>
    <t>C3</t>
  </si>
  <si>
    <t>Quản lý đội thi công cơ hữu</t>
  </si>
  <si>
    <t>Không có đội, tự làm hoặc gọi thợ tự do theo vụ</t>
  </si>
  <si>
    <t>Có 1-3 thợ nhưng không cố định, gọi theo nhu cầu</t>
  </si>
  <si>
    <t>Có ≥2 thợ cơ hữu gắn bó &gt;6 tháng, điều phối được lịch job, SLA ổn</t>
  </si>
  <si>
    <t>Hỏi: "Đội anh có mấy người cố định?", "Thợ có đi theo anh lâu không?"</t>
  </si>
  <si>
    <t>C4</t>
  </si>
  <si>
    <t>Trách nhiệm cuối (skin-in-the-game)</t>
  </si>
  <si>
    <t>Đổ lỗi cho nhà SX khi có sự cố / không dám ký bảo hành</t>
  </si>
  <si>
    <t>Xử lý bảo hành nhưng đòi hoàn chi phí từ nhà SX</t>
  </si>
  <si>
    <t>Ký bảo hành bằng danh nghĩa cửa hàng, chịu chi phí sửa trực tiếp</t>
  </si>
  <si>
    <t>Hỏi: "Khi khách khiếu nại, anh xử lý thế nào?", "Ai chịu chi phí bảo hành?"</t>
  </si>
  <si>
    <t>C5</t>
  </si>
  <si>
    <t>Động lực tham gia có nguồn gốc rõ</t>
  </si>
  <si>
    <t>Không muốn thay đổi cách làm hiện tại / tham gia cho có</t>
  </si>
  <si>
    <t>Quan tâm nhưng chưa chỉ ra được lợi ích cụ thể / còn mơ hồ</t>
  </si>
  <si>
    <t>Chỉ rõ 1 nỗi đau muốn giải ngay: DSO, thiếu thợ, thiếu khách mới...</t>
  </si>
  <si>
    <t>Hỏi: "Tại sao anh muốn tham gia ADG?", "Điều gì khiến anh khó khăn nhất hiện nay?"</t>
  </si>
  <si>
    <t>0 điểm</t>
  </si>
  <si>
    <t>1 điểm</t>
  </si>
  <si>
    <t>2 điểm</t>
  </si>
  <si>
    <t>Cách verify thực tế</t>
  </si>
  <si>
    <t>NHÓM 2: NỀN TẢNG BỀN VỮNG (25% tổng trọng số)</t>
  </si>
  <si>
    <t>C6</t>
  </si>
  <si>
    <t>Kiểm soát địa bàn vật lý</t>
  </si>
  <si>
    <t>Không có vùng địa lý nhất định / khách đến ngẫu nhiên</t>
  </si>
  <si>
    <t>Có quan hệ ở 1 khu vực nhưng không độc quyền, vẫn phải chạy quảng cáo</t>
  </si>
  <si>
    <t>Khách &lt;5km gọi họ đầu tiên không cần quảng cáo / được biết đến như "ông trùm khu vực"</t>
  </si>
  <si>
    <t>Hỏi: "Khách trong phường có biết đến anh không?", "Khách mới thường tìm anh bằng cách nào?"</t>
  </si>
  <si>
    <t>C7</t>
  </si>
  <si>
    <t>Kỷ luật dữ liệu (tạo evidence)</t>
  </si>
  <si>
    <t>Không ghi chép gì, mọi thứ nằm trong đầu / Zalo cá nhân lộn xộn</t>
  </si>
  <si>
    <t>Ghi chép rải rác Zalo/Excel nhưng chưa chuẩn hóa, khó truy xuất</t>
  </si>
  <si>
    <t>Có hệ thống ghi chép job/tiền rõ ràng, xuất được lịch sử khách khi cần</t>
  </si>
  <si>
    <t>Hỏi: "Anh lưu thông tin job thế nào?", "Có thể xem lại lịch sử khách cũ không?"</t>
  </si>
  <si>
    <t>C8</t>
  </si>
  <si>
    <t>Kiểm soát chuỗi cung ứng ngược (S_ID)</t>
  </si>
  <si>
    <t>Mua theo chỉ định nhà SX, không có quyền chọn nguồn</t>
  </si>
  <si>
    <t>Có 2-3 nguồn cung cấp để lựa chọn nhưng chưa dám đàm phán sâu</t>
  </si>
  <si>
    <t>Chủ động đặt hàng, thương lượng được giá/điều khoản thanh toán</t>
  </si>
  <si>
    <t>Hỏi: "Anh nhập hàng từ mấy nguồn?", "Có thể đổi nhà cung cấp nếu cần không?"</t>
  </si>
  <si>
    <t>C9</t>
  </si>
  <si>
    <t>Sức ảnh hưởng cộng đồng (network multiplier)</t>
  </si>
  <si>
    <t>Không ai trong nghề biết đến / hoạt động đơn lẻ</t>
  </si>
  <si>
    <t>Được vài người trong nghề biết và tin tưởng</t>
  </si>
  <si>
    <t>Người khác chủ động giới thiệu thợ/khách cho họ / có thể kéo người mới vào hệ thống</t>
  </si>
  <si>
    <t>Hỏi: "Có ai giới thiệu khách/thợ cho anh không?", "Anh có giới thiệu ai vào nghề không?"</t>
  </si>
  <si>
    <t>Raw = (C1×0.20) + (C2×0.15) + (C3×0.15) + (C4×0.15) + (C5×0.10) + (C6×0.10) + (C7×0.08) + (C8×0.04) + (C9×0.03)</t>
  </si>
  <si>
    <t>C_score = round(Raw × 50)</t>
  </si>
  <si>
    <t>C_score ≥75 → TIER A (NODE)</t>
  </si>
  <si>
    <t>C_score = 50-74 → TIER B (HUB)</t>
  </si>
  <si>
    <t>C_score =30-49 → TIER C (LINK)</t>
  </si>
  <si>
    <t>C_score =&lt;30 → TIER D (SEED)</t>
  </si>
  <si>
    <t>TÍNH ĐIỂM &amp; GÁN TIER</t>
  </si>
  <si>
    <t>GÁN PILOT BATCH</t>
  </si>
  <si>
    <t>BATCH1: c_score ≥60 AND Tier IN (A,B)</t>
  </si>
  <si>
    <t>BATCH2: c_score 30-59 OR Tier = C</t>
  </si>
  <si>
    <t>BATCH3: c_score &lt;30 OR Tier = D</t>
  </si>
  <si>
    <t>Quyền Hoài</t>
  </si>
  <si>
    <t>Tên ĐL</t>
  </si>
  <si>
    <t>Tổng điểm</t>
  </si>
  <si>
    <t>TOTAL</t>
  </si>
  <si>
    <t>TIER</t>
  </si>
  <si>
    <t>BATCH</t>
  </si>
  <si>
    <t>Raw score</t>
  </si>
  <si>
    <t>C_Score</t>
  </si>
  <si>
    <t>GÁN TIER &amp; PILOT BATCH</t>
  </si>
  <si>
    <t>VÍ DỤ: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</si>
</sst>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rgb="FF1D1D1F"/>
      <name val="Times New Roman"/>
      <family val="1"/>
    </font>
    <font>
      <sz val="12"/>
      <color rgb="FF1D1D1F"/>
      <name val="Times New Roman"/>
      <family val="1"/>
    </font>
    <font>
      <sz val="12"/>
      <color rgb="FF1D1D1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9" fontId="2" fillId="2" borderId="8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9" fontId="5" fillId="0" borderId="5" xfId="0" applyNumberFormat="1" applyFont="1" applyBorder="1" applyAlignment="1">
      <alignment horizontal="center"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/>
    <xf numFmtId="0" fontId="5" fillId="0" borderId="1" xfId="0" applyFont="1" applyBorder="1"/>
    <xf numFmtId="0" fontId="6" fillId="0" borderId="3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4" xfId="0" applyFont="1" applyBorder="1"/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5C35-B831-4DFE-B015-070370834411}">
  <dimension ref="A1:H51"/>
  <sheetViews>
    <sheetView tabSelected="1" topLeftCell="A21" workbookViewId="0">
      <selection activeCell="F54" sqref="F54"/>
    </sheetView>
  </sheetViews>
  <sheetFormatPr defaultRowHeight="15.75" x14ac:dyDescent="0.25"/>
  <cols>
    <col min="1" max="1" width="12.42578125" style="3" customWidth="1"/>
    <col min="2" max="2" width="13" style="3" customWidth="1"/>
    <col min="3" max="3" width="42.7109375" style="3" customWidth="1"/>
    <col min="4" max="4" width="11.140625" style="3" customWidth="1"/>
    <col min="5" max="5" width="30.7109375" style="3" bestFit="1" customWidth="1"/>
    <col min="6" max="6" width="30.85546875" style="3" customWidth="1"/>
    <col min="7" max="7" width="33.7109375" style="3" customWidth="1"/>
    <col min="8" max="8" width="40.85546875" style="3" customWidth="1"/>
    <col min="9" max="16384" width="9.140625" style="3"/>
  </cols>
  <sheetData>
    <row r="1" spans="2:8" ht="18.75" x14ac:dyDescent="0.3">
      <c r="B1" s="1" t="s">
        <v>0</v>
      </c>
    </row>
    <row r="2" spans="2:8" x14ac:dyDescent="0.25">
      <c r="B2" s="2"/>
    </row>
    <row r="3" spans="2:8" x14ac:dyDescent="0.25">
      <c r="B3" s="2" t="s">
        <v>6</v>
      </c>
    </row>
    <row r="4" spans="2:8" x14ac:dyDescent="0.25">
      <c r="B4" s="2"/>
    </row>
    <row r="5" spans="2:8" x14ac:dyDescent="0.25">
      <c r="B5" s="7" t="s">
        <v>2</v>
      </c>
      <c r="C5" s="5" t="s">
        <v>3</v>
      </c>
      <c r="D5" s="5" t="s">
        <v>4</v>
      </c>
      <c r="E5" s="5" t="s">
        <v>35</v>
      </c>
      <c r="F5" s="5" t="s">
        <v>36</v>
      </c>
      <c r="G5" s="5" t="s">
        <v>37</v>
      </c>
      <c r="H5" s="6" t="s">
        <v>38</v>
      </c>
    </row>
    <row r="6" spans="2:8" s="4" customFormat="1" ht="31.5" x14ac:dyDescent="0.25">
      <c r="B6" s="8" t="s">
        <v>1</v>
      </c>
      <c r="C6" s="9" t="s">
        <v>5</v>
      </c>
      <c r="D6" s="10">
        <v>0.2</v>
      </c>
      <c r="E6" s="9" t="s">
        <v>7</v>
      </c>
      <c r="F6" s="9" t="s">
        <v>8</v>
      </c>
      <c r="G6" s="9" t="s">
        <v>9</v>
      </c>
      <c r="H6" s="11" t="s">
        <v>10</v>
      </c>
    </row>
    <row r="7" spans="2:8" s="4" customFormat="1" ht="47.25" x14ac:dyDescent="0.25">
      <c r="B7" s="8" t="s">
        <v>11</v>
      </c>
      <c r="C7" s="9" t="s">
        <v>12</v>
      </c>
      <c r="D7" s="10">
        <v>0.15</v>
      </c>
      <c r="E7" s="9" t="s">
        <v>13</v>
      </c>
      <c r="F7" s="9" t="s">
        <v>14</v>
      </c>
      <c r="G7" s="9" t="s">
        <v>15</v>
      </c>
      <c r="H7" s="11" t="s">
        <v>16</v>
      </c>
    </row>
    <row r="8" spans="2:8" s="4" customFormat="1" ht="31.5" x14ac:dyDescent="0.25">
      <c r="B8" s="8" t="s">
        <v>17</v>
      </c>
      <c r="C8" s="9" t="s">
        <v>18</v>
      </c>
      <c r="D8" s="10">
        <v>0.15</v>
      </c>
      <c r="E8" s="9" t="s">
        <v>19</v>
      </c>
      <c r="F8" s="9" t="s">
        <v>20</v>
      </c>
      <c r="G8" s="9" t="s">
        <v>21</v>
      </c>
      <c r="H8" s="11" t="s">
        <v>22</v>
      </c>
    </row>
    <row r="9" spans="2:8" s="4" customFormat="1" ht="31.5" x14ac:dyDescent="0.25">
      <c r="B9" s="8" t="s">
        <v>23</v>
      </c>
      <c r="C9" s="9" t="s">
        <v>24</v>
      </c>
      <c r="D9" s="10">
        <v>0.15</v>
      </c>
      <c r="E9" s="9" t="s">
        <v>25</v>
      </c>
      <c r="F9" s="9" t="s">
        <v>26</v>
      </c>
      <c r="G9" s="9" t="s">
        <v>27</v>
      </c>
      <c r="H9" s="11" t="s">
        <v>28</v>
      </c>
    </row>
    <row r="10" spans="2:8" s="4" customFormat="1" ht="31.5" x14ac:dyDescent="0.25">
      <c r="B10" s="12" t="s">
        <v>29</v>
      </c>
      <c r="C10" s="13" t="s">
        <v>30</v>
      </c>
      <c r="D10" s="14">
        <v>0.1</v>
      </c>
      <c r="E10" s="13" t="s">
        <v>31</v>
      </c>
      <c r="F10" s="13" t="s">
        <v>32</v>
      </c>
      <c r="G10" s="13" t="s">
        <v>33</v>
      </c>
      <c r="H10" s="15" t="s">
        <v>34</v>
      </c>
    </row>
    <row r="12" spans="2:8" x14ac:dyDescent="0.25">
      <c r="B12" s="2" t="s">
        <v>39</v>
      </c>
    </row>
    <row r="14" spans="2:8" x14ac:dyDescent="0.25">
      <c r="B14" s="17" t="s">
        <v>2</v>
      </c>
      <c r="C14" s="18" t="s">
        <v>3</v>
      </c>
      <c r="D14" s="18" t="s">
        <v>4</v>
      </c>
      <c r="E14" s="18" t="s">
        <v>35</v>
      </c>
      <c r="F14" s="18" t="s">
        <v>36</v>
      </c>
      <c r="G14" s="18" t="s">
        <v>37</v>
      </c>
      <c r="H14" s="19" t="s">
        <v>38</v>
      </c>
    </row>
    <row r="15" spans="2:8" s="16" customFormat="1" ht="47.25" x14ac:dyDescent="0.25">
      <c r="B15" s="20" t="s">
        <v>40</v>
      </c>
      <c r="C15" s="21" t="s">
        <v>41</v>
      </c>
      <c r="D15" s="26">
        <v>0.1</v>
      </c>
      <c r="E15" s="21" t="s">
        <v>42</v>
      </c>
      <c r="F15" s="21" t="s">
        <v>43</v>
      </c>
      <c r="G15" s="21" t="s">
        <v>44</v>
      </c>
      <c r="H15" s="22" t="s">
        <v>45</v>
      </c>
    </row>
    <row r="16" spans="2:8" s="16" customFormat="1" ht="47.25" x14ac:dyDescent="0.25">
      <c r="B16" s="20" t="s">
        <v>46</v>
      </c>
      <c r="C16" s="21" t="s">
        <v>47</v>
      </c>
      <c r="D16" s="26">
        <v>0.08</v>
      </c>
      <c r="E16" s="21" t="s">
        <v>48</v>
      </c>
      <c r="F16" s="21" t="s">
        <v>49</v>
      </c>
      <c r="G16" s="21" t="s">
        <v>50</v>
      </c>
      <c r="H16" s="22" t="s">
        <v>51</v>
      </c>
    </row>
    <row r="17" spans="2:8" s="16" customFormat="1" ht="47.25" x14ac:dyDescent="0.25">
      <c r="B17" s="20" t="s">
        <v>52</v>
      </c>
      <c r="C17" s="21" t="s">
        <v>53</v>
      </c>
      <c r="D17" s="26">
        <v>0.04</v>
      </c>
      <c r="E17" s="21" t="s">
        <v>54</v>
      </c>
      <c r="F17" s="21" t="s">
        <v>55</v>
      </c>
      <c r="G17" s="21" t="s">
        <v>56</v>
      </c>
      <c r="H17" s="22" t="s">
        <v>57</v>
      </c>
    </row>
    <row r="18" spans="2:8" s="16" customFormat="1" ht="47.25" x14ac:dyDescent="0.25">
      <c r="B18" s="23" t="s">
        <v>58</v>
      </c>
      <c r="C18" s="24" t="s">
        <v>59</v>
      </c>
      <c r="D18" s="27">
        <v>0.03</v>
      </c>
      <c r="E18" s="24" t="s">
        <v>60</v>
      </c>
      <c r="F18" s="24" t="s">
        <v>61</v>
      </c>
      <c r="G18" s="24" t="s">
        <v>62</v>
      </c>
      <c r="H18" s="25" t="s">
        <v>63</v>
      </c>
    </row>
    <row r="20" spans="2:8" x14ac:dyDescent="0.25">
      <c r="B20" s="2" t="s">
        <v>70</v>
      </c>
    </row>
    <row r="21" spans="2:8" x14ac:dyDescent="0.25">
      <c r="C21" s="28" t="s">
        <v>64</v>
      </c>
    </row>
    <row r="22" spans="2:8" x14ac:dyDescent="0.25">
      <c r="C22" s="28" t="s">
        <v>65</v>
      </c>
    </row>
    <row r="23" spans="2:8" x14ac:dyDescent="0.25">
      <c r="C23" s="3" t="s">
        <v>66</v>
      </c>
    </row>
    <row r="24" spans="2:8" x14ac:dyDescent="0.25">
      <c r="C24" s="3" t="s">
        <v>67</v>
      </c>
    </row>
    <row r="25" spans="2:8" x14ac:dyDescent="0.25">
      <c r="C25" s="3" t="s">
        <v>68</v>
      </c>
    </row>
    <row r="26" spans="2:8" x14ac:dyDescent="0.25">
      <c r="C26" s="3" t="s">
        <v>66</v>
      </c>
    </row>
    <row r="27" spans="2:8" x14ac:dyDescent="0.25">
      <c r="C27" s="3" t="s">
        <v>69</v>
      </c>
    </row>
    <row r="28" spans="2:8" x14ac:dyDescent="0.25">
      <c r="B28" s="2" t="s">
        <v>71</v>
      </c>
    </row>
    <row r="29" spans="2:8" x14ac:dyDescent="0.25">
      <c r="C29" s="3" t="s">
        <v>72</v>
      </c>
    </row>
    <row r="30" spans="2:8" x14ac:dyDescent="0.25">
      <c r="C30" s="3" t="s">
        <v>73</v>
      </c>
    </row>
    <row r="31" spans="2:8" x14ac:dyDescent="0.25">
      <c r="C31" s="3" t="s">
        <v>74</v>
      </c>
    </row>
    <row r="33" spans="1:8" x14ac:dyDescent="0.25">
      <c r="A33" s="2" t="s">
        <v>84</v>
      </c>
    </row>
    <row r="34" spans="1:8" x14ac:dyDescent="0.25">
      <c r="A34" s="7" t="s">
        <v>76</v>
      </c>
      <c r="B34" s="5" t="s">
        <v>2</v>
      </c>
      <c r="C34" s="5" t="s">
        <v>3</v>
      </c>
      <c r="D34" s="5" t="s">
        <v>4</v>
      </c>
      <c r="E34" s="5" t="s">
        <v>35</v>
      </c>
      <c r="F34" s="5" t="s">
        <v>36</v>
      </c>
      <c r="G34" s="5" t="s">
        <v>37</v>
      </c>
      <c r="H34" s="6" t="s">
        <v>77</v>
      </c>
    </row>
    <row r="35" spans="1:8" x14ac:dyDescent="0.25">
      <c r="A35" s="38" t="s">
        <v>75</v>
      </c>
      <c r="B35" s="31" t="s">
        <v>1</v>
      </c>
      <c r="C35" s="9" t="s">
        <v>5</v>
      </c>
      <c r="D35" s="10">
        <v>0.2</v>
      </c>
      <c r="E35" s="32"/>
      <c r="F35" s="32">
        <v>1</v>
      </c>
      <c r="G35" s="32"/>
      <c r="H35" s="33">
        <f>SUM(E35:G35)*D35</f>
        <v>0.2</v>
      </c>
    </row>
    <row r="36" spans="1:8" x14ac:dyDescent="0.25">
      <c r="A36" s="38"/>
      <c r="B36" s="31" t="s">
        <v>11</v>
      </c>
      <c r="C36" s="9" t="s">
        <v>12</v>
      </c>
      <c r="D36" s="10">
        <v>0.15</v>
      </c>
      <c r="E36" s="32"/>
      <c r="F36" s="32">
        <v>1</v>
      </c>
      <c r="G36" s="32"/>
      <c r="H36" s="33">
        <f t="shared" ref="H36:H43" si="0">SUM(E36:G36)*D36</f>
        <v>0.15</v>
      </c>
    </row>
    <row r="37" spans="1:8" x14ac:dyDescent="0.25">
      <c r="A37" s="38"/>
      <c r="B37" s="31" t="s">
        <v>17</v>
      </c>
      <c r="C37" s="9" t="s">
        <v>18</v>
      </c>
      <c r="D37" s="10">
        <v>0.15</v>
      </c>
      <c r="E37" s="32"/>
      <c r="F37" s="32"/>
      <c r="G37" s="32">
        <v>2</v>
      </c>
      <c r="H37" s="33">
        <f t="shared" si="0"/>
        <v>0.3</v>
      </c>
    </row>
    <row r="38" spans="1:8" x14ac:dyDescent="0.25">
      <c r="A38" s="38"/>
      <c r="B38" s="31" t="s">
        <v>23</v>
      </c>
      <c r="C38" s="9" t="s">
        <v>24</v>
      </c>
      <c r="D38" s="10">
        <v>0.15</v>
      </c>
      <c r="E38" s="32"/>
      <c r="F38" s="32"/>
      <c r="G38" s="32">
        <v>2</v>
      </c>
      <c r="H38" s="33">
        <f t="shared" si="0"/>
        <v>0.3</v>
      </c>
    </row>
    <row r="39" spans="1:8" x14ac:dyDescent="0.25">
      <c r="A39" s="38"/>
      <c r="B39" s="31" t="s">
        <v>29</v>
      </c>
      <c r="C39" s="9" t="s">
        <v>30</v>
      </c>
      <c r="D39" s="10">
        <v>0.1</v>
      </c>
      <c r="E39" s="32"/>
      <c r="F39" s="32"/>
      <c r="G39" s="32">
        <v>2</v>
      </c>
      <c r="H39" s="33">
        <f t="shared" si="0"/>
        <v>0.2</v>
      </c>
    </row>
    <row r="40" spans="1:8" x14ac:dyDescent="0.25">
      <c r="A40" s="38"/>
      <c r="B40" s="34" t="s">
        <v>40</v>
      </c>
      <c r="C40" s="21" t="s">
        <v>41</v>
      </c>
      <c r="D40" s="26">
        <v>0.1</v>
      </c>
      <c r="E40" s="32"/>
      <c r="F40" s="32"/>
      <c r="G40" s="32">
        <v>2</v>
      </c>
      <c r="H40" s="33">
        <f t="shared" si="0"/>
        <v>0.2</v>
      </c>
    </row>
    <row r="41" spans="1:8" x14ac:dyDescent="0.25">
      <c r="A41" s="38"/>
      <c r="B41" s="34" t="s">
        <v>46</v>
      </c>
      <c r="C41" s="21" t="s">
        <v>47</v>
      </c>
      <c r="D41" s="26">
        <v>0.08</v>
      </c>
      <c r="E41" s="32">
        <v>0</v>
      </c>
      <c r="F41" s="32"/>
      <c r="G41" s="32"/>
      <c r="H41" s="33">
        <f t="shared" si="0"/>
        <v>0</v>
      </c>
    </row>
    <row r="42" spans="1:8" x14ac:dyDescent="0.25">
      <c r="A42" s="38"/>
      <c r="B42" s="34" t="s">
        <v>52</v>
      </c>
      <c r="C42" s="21" t="s">
        <v>53</v>
      </c>
      <c r="D42" s="26">
        <v>0.04</v>
      </c>
      <c r="E42" s="32"/>
      <c r="F42" s="32">
        <v>1</v>
      </c>
      <c r="G42" s="32"/>
      <c r="H42" s="33">
        <f t="shared" si="0"/>
        <v>0.04</v>
      </c>
    </row>
    <row r="43" spans="1:8" x14ac:dyDescent="0.25">
      <c r="A43" s="38"/>
      <c r="B43" s="34" t="s">
        <v>58</v>
      </c>
      <c r="C43" s="21" t="s">
        <v>59</v>
      </c>
      <c r="D43" s="26">
        <v>0.03</v>
      </c>
      <c r="E43" s="32"/>
      <c r="F43" s="32"/>
      <c r="G43" s="32">
        <v>2</v>
      </c>
      <c r="H43" s="33">
        <f t="shared" si="0"/>
        <v>0.06</v>
      </c>
    </row>
    <row r="44" spans="1:8" x14ac:dyDescent="0.25">
      <c r="A44" s="35" t="s">
        <v>78</v>
      </c>
      <c r="B44" s="36"/>
      <c r="C44" s="36"/>
      <c r="D44" s="36"/>
      <c r="E44" s="36"/>
      <c r="F44" s="36"/>
      <c r="G44" s="36"/>
      <c r="H44" s="37">
        <f>SUM(H35:H43)</f>
        <v>1.45</v>
      </c>
    </row>
    <row r="47" spans="1:8" x14ac:dyDescent="0.25">
      <c r="B47" s="29" t="s">
        <v>83</v>
      </c>
      <c r="C47" s="30"/>
    </row>
    <row r="48" spans="1:8" x14ac:dyDescent="0.25">
      <c r="B48" s="42" t="s">
        <v>81</v>
      </c>
      <c r="C48" s="39">
        <f>H44</f>
        <v>1.45</v>
      </c>
    </row>
    <row r="49" spans="2:3" x14ac:dyDescent="0.25">
      <c r="B49" s="42" t="s">
        <v>82</v>
      </c>
      <c r="C49" s="40">
        <f>C48*50</f>
        <v>72.5</v>
      </c>
    </row>
    <row r="50" spans="2:3" x14ac:dyDescent="0.25">
      <c r="B50" s="42" t="s">
        <v>79</v>
      </c>
      <c r="C50" s="40" t="str">
        <f>IF(C49&gt;=75,"TIER A (NODE)",IF(C49&gt;=50,"TIER B (HUB)",IF(C49&gt;=30,"TIER C (LINK)","TIER D (SEED)")))</f>
        <v>TIER B (HUB)</v>
      </c>
    </row>
    <row r="51" spans="2:3" x14ac:dyDescent="0.25">
      <c r="B51" s="43" t="s">
        <v>80</v>
      </c>
      <c r="C51" s="41" t="str">
        <f>IF(AND(C49&gt;=60,OR(C50="TIER A (NODE)",C50="TIER B (HUB)")),"BATCH1",IF(OR(AND(C49&gt;=30,C49&lt;=59),C50="TIER C (LINK)"),"BATCH2",IF(OR(C49&lt;30,C50="TIER C (SEED)"),"BATCH3","ERROR")))</f>
        <v>BATCH1</v>
      </c>
    </row>
  </sheetData>
  <mergeCells count="2">
    <mergeCell ref="A35:A43"/>
    <mergeCell ref="A44:G4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Trọng Cường</dc:creator>
  <cp:lastModifiedBy>Nguyễn Trọng Cường</cp:lastModifiedBy>
  <dcterms:created xsi:type="dcterms:W3CDTF">2026-04-01T03:19:39Z</dcterms:created>
  <dcterms:modified xsi:type="dcterms:W3CDTF">2026-04-01T03:59:35Z</dcterms:modified>
</cp:coreProperties>
</file>